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120" yWindow="105" windowWidth="21075" windowHeight="12075"/>
  </bookViews>
  <sheets>
    <sheet name="HEIGHT and REPRO" sheetId="1" r:id="rId1"/>
    <sheet name="SEEDLING EMERG" sheetId="2" r:id="rId2"/>
    <sheet name="LAB GERMINATION" sheetId="3" r:id="rId3"/>
  </sheets>
  <calcPr calcId="152511"/>
</workbook>
</file>

<file path=xl/calcChain.xml><?xml version="1.0" encoding="utf-8"?>
<calcChain xmlns="http://schemas.openxmlformats.org/spreadsheetml/2006/main">
  <c r="Q17" i="3" l="1"/>
  <c r="Q18" i="3"/>
  <c r="Q19" i="3"/>
  <c r="Q20" i="3"/>
  <c r="Q21" i="3"/>
  <c r="Q22" i="3"/>
  <c r="Q23" i="3"/>
  <c r="Q24" i="3"/>
  <c r="Q25" i="3"/>
  <c r="Q41" i="3" s="1"/>
  <c r="Q26" i="3"/>
  <c r="Q27" i="3"/>
  <c r="Q28" i="3"/>
  <c r="Q29" i="3"/>
  <c r="Q30" i="3"/>
  <c r="Q31" i="3"/>
  <c r="Q32" i="3"/>
  <c r="Q33" i="3"/>
  <c r="Q16" i="3"/>
  <c r="Q38" i="3" s="1"/>
  <c r="O43" i="3"/>
  <c r="N43" i="3"/>
  <c r="M43" i="3"/>
  <c r="L43" i="3"/>
  <c r="K43" i="3"/>
  <c r="J43" i="3"/>
  <c r="I43" i="3"/>
  <c r="H43" i="3"/>
  <c r="G43" i="3"/>
  <c r="F43" i="3"/>
  <c r="E43" i="3"/>
  <c r="D43" i="3"/>
  <c r="O42" i="3"/>
  <c r="N42" i="3"/>
  <c r="M42" i="3"/>
  <c r="L42" i="3"/>
  <c r="K42" i="3"/>
  <c r="J42" i="3"/>
  <c r="I42" i="3"/>
  <c r="H42" i="3"/>
  <c r="G42" i="3"/>
  <c r="F42" i="3"/>
  <c r="E42" i="3"/>
  <c r="D42" i="3"/>
  <c r="O41" i="3"/>
  <c r="N41" i="3"/>
  <c r="M41" i="3"/>
  <c r="L41" i="3"/>
  <c r="K41" i="3"/>
  <c r="J41" i="3"/>
  <c r="I41" i="3"/>
  <c r="H41" i="3"/>
  <c r="G41" i="3"/>
  <c r="F41" i="3"/>
  <c r="E41" i="3"/>
  <c r="D41" i="3"/>
  <c r="O40" i="3"/>
  <c r="N40" i="3"/>
  <c r="M40" i="3"/>
  <c r="L40" i="3"/>
  <c r="K40" i="3"/>
  <c r="J40" i="3"/>
  <c r="I40" i="3"/>
  <c r="H40" i="3"/>
  <c r="G40" i="3"/>
  <c r="F40" i="3"/>
  <c r="E40" i="3"/>
  <c r="D40" i="3"/>
  <c r="O39" i="3"/>
  <c r="N39" i="3"/>
  <c r="M39" i="3"/>
  <c r="L39" i="3"/>
  <c r="K39" i="3"/>
  <c r="J39" i="3"/>
  <c r="I39" i="3"/>
  <c r="H39" i="3"/>
  <c r="G39" i="3"/>
  <c r="F39" i="3"/>
  <c r="E39" i="3"/>
  <c r="D39" i="3"/>
  <c r="O38" i="3"/>
  <c r="N38" i="3"/>
  <c r="M38" i="3"/>
  <c r="L38" i="3"/>
  <c r="K38" i="3"/>
  <c r="J38" i="3"/>
  <c r="I38" i="3"/>
  <c r="H38" i="3"/>
  <c r="G38" i="3"/>
  <c r="F38" i="3"/>
  <c r="E38" i="3"/>
  <c r="D38" i="3"/>
  <c r="Q42" i="3" l="1"/>
  <c r="Q39" i="3"/>
  <c r="Q43" i="3"/>
  <c r="Q40" i="3"/>
  <c r="J19" i="2"/>
  <c r="J1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3" i="2"/>
  <c r="F22" i="2"/>
  <c r="F21" i="2"/>
  <c r="F20" i="2"/>
  <c r="F19" i="2"/>
  <c r="F18" i="2"/>
  <c r="F29" i="2"/>
  <c r="J22" i="2"/>
  <c r="F28" i="2"/>
  <c r="J21" i="2"/>
  <c r="F27" i="2"/>
  <c r="J20" i="2"/>
  <c r="F26" i="2"/>
  <c r="F25" i="2"/>
  <c r="F24" i="2"/>
  <c r="K19" i="2" l="1"/>
  <c r="K18" i="2"/>
  <c r="K20" i="2"/>
  <c r="K22" i="2"/>
  <c r="K21" i="2"/>
  <c r="S25" i="1" l="1"/>
  <c r="R25" i="1"/>
  <c r="Q25" i="1"/>
  <c r="P25" i="1"/>
  <c r="M25" i="1"/>
  <c r="L25" i="1"/>
  <c r="K25" i="1"/>
  <c r="J25" i="1"/>
  <c r="D25" i="1"/>
</calcChain>
</file>

<file path=xl/sharedStrings.xml><?xml version="1.0" encoding="utf-8"?>
<sst xmlns="http://schemas.openxmlformats.org/spreadsheetml/2006/main" count="221" uniqueCount="77">
  <si>
    <t>Plant</t>
  </si>
  <si>
    <t>LH1</t>
  </si>
  <si>
    <t>LH2</t>
  </si>
  <si>
    <t>LH3</t>
  </si>
  <si>
    <t>LH4</t>
  </si>
  <si>
    <t>LH5</t>
  </si>
  <si>
    <t>LH6</t>
  </si>
  <si>
    <t>LH7</t>
  </si>
  <si>
    <t>LH8</t>
  </si>
  <si>
    <t>LH9</t>
  </si>
  <si>
    <t>LH10</t>
  </si>
  <si>
    <t>LH11</t>
  </si>
  <si>
    <t>LH12</t>
  </si>
  <si>
    <t>LH13</t>
  </si>
  <si>
    <t>LH14</t>
  </si>
  <si>
    <t>LH15</t>
  </si>
  <si>
    <t>Germination</t>
  </si>
  <si>
    <t>May, 2015</t>
  </si>
  <si>
    <t>At end of 2015 growing season (ca. October)</t>
  </si>
  <si>
    <t xml:space="preserve">Survival </t>
  </si>
  <si>
    <t>yes</t>
  </si>
  <si>
    <t>Number of fruits produced per plant (counted)</t>
  </si>
  <si>
    <t>Number of seeds produced per plant (estimate)</t>
  </si>
  <si>
    <t>Number of seeds per fruit (estimate)</t>
  </si>
  <si>
    <t>Height (cm)</t>
  </si>
  <si>
    <t>As of August 18, 2017</t>
  </si>
  <si>
    <t>At end of 2016 growing season (ca. October)</t>
  </si>
  <si>
    <t>NOTE: The above are not END-OF-GROWING SEASON data</t>
  </si>
  <si>
    <t>MEAN</t>
  </si>
  <si>
    <r>
      <t xml:space="preserve">The following data were collected from 15 </t>
    </r>
    <r>
      <rPr>
        <i/>
        <sz val="11"/>
        <color theme="1"/>
        <rFont val="Calibri"/>
        <family val="2"/>
        <scheme val="minor"/>
      </rPr>
      <t>Frangula alnus</t>
    </r>
    <r>
      <rPr>
        <sz val="11"/>
        <color theme="1"/>
        <rFont val="Calibri"/>
        <family val="2"/>
        <scheme val="minor"/>
      </rPr>
      <t xml:space="preserve"> (glossy buckthorn) individuals grown from two-week old seedlings (transplanted from College Woods, Durham NH) in an 'orchard' at the UNH Kingman Farm, Madbury NH.</t>
    </r>
  </si>
  <si>
    <t>Treatment</t>
  </si>
  <si>
    <t>Compact</t>
  </si>
  <si>
    <t>Control</t>
  </si>
  <si>
    <t>Oak</t>
  </si>
  <si>
    <t>Pine</t>
  </si>
  <si>
    <t>Turf</t>
  </si>
  <si>
    <t>In 2017 we set up an experiment to examine the effects of different substrates on the emergence of sown seeds and subsequent seedling growth.</t>
  </si>
  <si>
    <t>Emergence is not the same as germination, as seeds may germinate but die before seedlings are visible above the soil or litter.</t>
  </si>
  <si>
    <t>COMPACT = soil compressed with a compactor (to simulate effects of logging machinery)</t>
  </si>
  <si>
    <t>SUBSTRATE and BUCKTHORN EMERGENCE</t>
  </si>
  <si>
    <t>OAK = oak leaf litter at depth found at nearby field sites.</t>
  </si>
  <si>
    <t>PINE = White pine leaf litter at depth found at nearby field sites.</t>
  </si>
  <si>
    <r>
      <rPr>
        <b/>
        <sz val="11"/>
        <color theme="1"/>
        <rFont val="Calibri"/>
        <family val="2"/>
        <scheme val="minor"/>
      </rPr>
      <t>Design</t>
    </r>
    <r>
      <rPr>
        <sz val="11"/>
        <color theme="1"/>
        <rFont val="Calibri"/>
        <family val="2"/>
        <scheme val="minor"/>
      </rPr>
      <t>: Six replicates per treatment. 200 buckthorn seeds scattered in each rep in October 2016.</t>
    </r>
  </si>
  <si>
    <t>CONTROL = bare tilled soil, no litter, no compaction.</t>
  </si>
  <si>
    <t>Treatment 
(n = 6)</t>
  </si>
  <si>
    <t>HEIGHT and FRUIT/SEED PRODUCTION IN PLANTS GROWN UNDER "OPTIMAL" CONDITIONS</t>
  </si>
  <si>
    <t>Below are emergence data (survival and growth data for season 1 not complete). Survival and growth can be provided at the end of the growing season (late october 2017).</t>
  </si>
  <si>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>: from August 8, 2017, by which time emergence seemed to have ceased.</t>
    </r>
  </si>
  <si>
    <t>TURF = mix of perennal grasses used to re-vegetate log landings and logged areas with heavy vehicular traffic (turf established in June of 2016)</t>
  </si>
  <si>
    <t>Treatment B: Seeds alternate: 14 hrs in refrigerator; 10 hours under 40 watt lamp on bench</t>
  </si>
  <si>
    <t>A</t>
  </si>
  <si>
    <t>KF</t>
  </si>
  <si>
    <t>MR</t>
  </si>
  <si>
    <t>B</t>
  </si>
  <si>
    <t>C</t>
  </si>
  <si>
    <t>BUCKTHORN (Frangula alnus) SEED GERMINATION IN LABORATORY (G40ba James Hall, Durham NH)</t>
  </si>
  <si>
    <t>Experiment conducted April 2017.</t>
  </si>
  <si>
    <t>Seed source</t>
  </si>
  <si>
    <t>Replicate (petri dish)</t>
  </si>
  <si>
    <t>Date and number of seeds germinating (of 25 per replicate)</t>
  </si>
  <si>
    <t>Proportion of seeds germinating</t>
  </si>
  <si>
    <t>Mean Proportion of seeds germinating</t>
  </si>
  <si>
    <t>Treatment C: Seeds left in refrigerator at ca. 5 degrees C.</t>
  </si>
  <si>
    <t>Three replicates per treatment (each rep a separate petri dish with moist filter paper). 25 seeds per replicate.</t>
  </si>
  <si>
    <t xml:space="preserve">Seeds collected in Durham (MR = Mast Road) and Madbury (KF = Kingman Farm buckthorn orchard), NH. </t>
  </si>
  <si>
    <t>Seeds removed from fruit, washed, soaked 5-6 times, stratified December2016-April 2017.</t>
  </si>
  <si>
    <t>Treatment A: Seeds left on lab bench under 40 watt lamp, ambient temp (ca. 20 degrees C).</t>
  </si>
  <si>
    <t>RAW DATA</t>
  </si>
  <si>
    <t>MEANS by TREATMENT and SEED SOURCE</t>
  </si>
  <si>
    <t>No seeds left in the rerigerator germinated. Seeds exposed to periodic or continuous warm temperatures germinated at a max rate of about 25%.</t>
  </si>
  <si>
    <t>The experiment started in May 2015 and is continuing. End of season data from 2015 and 2016 are presented. Data from 2017 are incomplete.</t>
  </si>
  <si>
    <t xml:space="preserve">These plants were grown on a common New Hampshire soil (Hollis-Charlton) free from competition. </t>
  </si>
  <si>
    <t>NOTE: Some plants produced flower buds and even flowers in 2015, but no mature fruits.</t>
  </si>
  <si>
    <t>Number of seedlings emerging</t>
  </si>
  <si>
    <t>Proportion of sown seedlings emerging</t>
  </si>
  <si>
    <t>Mean number of seedlings emerging</t>
  </si>
  <si>
    <t>Mean proportion of sown seedlings emerging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</si>
</sst>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0" xfId="0" applyBorder="1"/>
    <xf numFmtId="0" fontId="0" fillId="0" borderId="1" xfId="0" applyBorder="1"/>
    <xf numFmtId="164" fontId="0" fillId="0" borderId="0" xfId="0" applyNumberFormat="1"/>
    <xf numFmtId="2" fontId="0" fillId="0" borderId="0" xfId="0" applyNumberFormat="1" applyBorder="1"/>
    <xf numFmtId="1" fontId="0" fillId="0" borderId="8" xfId="0" applyNumberFormat="1" applyBorder="1"/>
    <xf numFmtId="2" fontId="0" fillId="0" borderId="1" xfId="0" applyNumberFormat="1" applyBorder="1"/>
    <xf numFmtId="1" fontId="0" fillId="0" borderId="4" xfId="0" applyNumberFormat="1" applyBorder="1"/>
    <xf numFmtId="1" fontId="0" fillId="0" borderId="6" xfId="0" applyNumberFormat="1" applyBorder="1"/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/>
    <xf numFmtId="0" fontId="3" fillId="0" borderId="0" xfId="0" applyFont="1" applyFill="1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/>
    <xf numFmtId="164" fontId="5" fillId="0" borderId="0" xfId="0" applyNumberFormat="1" applyFont="1"/>
    <xf numFmtId="1" fontId="5" fillId="0" borderId="0" xfId="0" applyNumberFormat="1" applyFont="1"/>
    <xf numFmtId="1" fontId="0" fillId="0" borderId="1" xfId="0" applyNumberFormat="1" applyBorder="1"/>
    <xf numFmtId="1" fontId="0" fillId="0" borderId="0" xfId="0" applyNumberFormat="1" applyBorder="1"/>
    <xf numFmtId="1" fontId="0" fillId="0" borderId="0" xfId="0" applyNumberFormat="1" applyFill="1" applyBorder="1"/>
    <xf numFmtId="2" fontId="5" fillId="0" borderId="0" xfId="0" applyNumberFormat="1" applyFont="1"/>
    <xf numFmtId="0" fontId="1" fillId="0" borderId="1" xfId="0" applyFont="1" applyBorder="1"/>
    <xf numFmtId="165" fontId="0" fillId="0" borderId="0" xfId="0" applyNumberFormat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0" xfId="0" applyFont="1" applyFill="1" applyBorder="1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16" fontId="1" fillId="0" borderId="5" xfId="0" applyNumberFormat="1" applyFont="1" applyBorder="1" applyAlignment="1">
      <alignment horizontal="center"/>
    </xf>
    <xf numFmtId="16" fontId="1" fillId="0" borderId="6" xfId="0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left"/>
    </xf>
    <xf numFmtId="2" fontId="0" fillId="0" borderId="0" xfId="0" applyNumberFormat="1"/>
    <xf numFmtId="0" fontId="1" fillId="0" borderId="0" xfId="0" applyFont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workbookViewId="0">
      <selection activeCell="V34" sqref="V34"/>
    </sheetView>
  </sheetViews>
  <sheetFormatPr defaultRowHeight="15" x14ac:dyDescent="0.25"/>
  <cols>
    <col min="2" max="2" width="11.85546875" customWidth="1"/>
    <col min="5" max="9" width="11.7109375" customWidth="1"/>
    <col min="10" max="10" width="10.7109375" customWidth="1"/>
    <col min="11" max="13" width="11.7109375" customWidth="1"/>
    <col min="15" max="19" width="10.7109375" customWidth="1"/>
  </cols>
  <sheetData>
    <row r="1" spans="1:19" x14ac:dyDescent="0.25">
      <c r="A1" s="4" t="s">
        <v>45</v>
      </c>
    </row>
    <row r="3" spans="1:19" x14ac:dyDescent="0.25">
      <c r="A3" t="s">
        <v>29</v>
      </c>
    </row>
    <row r="4" spans="1:19" x14ac:dyDescent="0.25">
      <c r="A4" t="s">
        <v>70</v>
      </c>
    </row>
    <row r="5" spans="1:19" x14ac:dyDescent="0.25">
      <c r="A5" t="s">
        <v>71</v>
      </c>
    </row>
    <row r="8" spans="1:19" ht="24" customHeight="1" x14ac:dyDescent="0.25">
      <c r="C8" s="50" t="s">
        <v>18</v>
      </c>
      <c r="D8" s="51"/>
      <c r="E8" s="51"/>
      <c r="F8" s="51"/>
      <c r="G8" s="52"/>
      <c r="H8" s="5"/>
      <c r="I8" s="50" t="s">
        <v>26</v>
      </c>
      <c r="J8" s="51"/>
      <c r="K8" s="51"/>
      <c r="L8" s="51"/>
      <c r="M8" s="52"/>
      <c r="O8" s="53" t="s">
        <v>25</v>
      </c>
      <c r="P8" s="54"/>
      <c r="Q8" s="54"/>
      <c r="R8" s="54"/>
      <c r="S8" s="55"/>
    </row>
    <row r="9" spans="1:19" s="4" customFormat="1" ht="75" x14ac:dyDescent="0.25">
      <c r="A9" s="2" t="s">
        <v>0</v>
      </c>
      <c r="B9" s="2" t="s">
        <v>16</v>
      </c>
      <c r="C9" s="6" t="s">
        <v>19</v>
      </c>
      <c r="D9" s="2" t="s">
        <v>24</v>
      </c>
      <c r="E9" s="2" t="s">
        <v>21</v>
      </c>
      <c r="F9" s="2" t="s">
        <v>23</v>
      </c>
      <c r="G9" s="7" t="s">
        <v>22</v>
      </c>
      <c r="I9" s="6" t="s">
        <v>19</v>
      </c>
      <c r="J9" s="2" t="s">
        <v>24</v>
      </c>
      <c r="K9" s="2" t="s">
        <v>21</v>
      </c>
      <c r="L9" s="2" t="s">
        <v>23</v>
      </c>
      <c r="M9" s="7" t="s">
        <v>22</v>
      </c>
      <c r="N9" s="3"/>
      <c r="O9" s="6" t="s">
        <v>19</v>
      </c>
      <c r="P9" s="2" t="s">
        <v>24</v>
      </c>
      <c r="Q9" s="2" t="s">
        <v>21</v>
      </c>
      <c r="R9" s="2" t="s">
        <v>23</v>
      </c>
      <c r="S9" s="7" t="s">
        <v>22</v>
      </c>
    </row>
    <row r="10" spans="1:19" x14ac:dyDescent="0.25">
      <c r="A10" s="1" t="s">
        <v>1</v>
      </c>
      <c r="B10" t="s">
        <v>17</v>
      </c>
      <c r="C10" s="16" t="s">
        <v>20</v>
      </c>
      <c r="D10" s="20">
        <v>47</v>
      </c>
      <c r="E10" s="17">
        <v>0</v>
      </c>
      <c r="F10" s="17">
        <v>0</v>
      </c>
      <c r="G10" s="17">
        <v>0</v>
      </c>
      <c r="I10" s="16" t="s">
        <v>20</v>
      </c>
      <c r="J10" s="27">
        <v>151</v>
      </c>
      <c r="K10" s="8">
        <v>2538</v>
      </c>
      <c r="L10" s="11">
        <v>2.3657210401891247</v>
      </c>
      <c r="M10" s="14">
        <v>6004.199999999998</v>
      </c>
      <c r="O10" s="16" t="s">
        <v>20</v>
      </c>
      <c r="P10" s="20">
        <v>173</v>
      </c>
      <c r="Q10" s="8">
        <v>1723</v>
      </c>
      <c r="R10" s="11">
        <v>2.3199999999999998</v>
      </c>
      <c r="S10" s="14">
        <v>3997.3599999999997</v>
      </c>
    </row>
    <row r="11" spans="1:19" x14ac:dyDescent="0.25">
      <c r="A11" s="1" t="s">
        <v>2</v>
      </c>
      <c r="B11" t="s">
        <v>17</v>
      </c>
      <c r="C11" s="16" t="s">
        <v>20</v>
      </c>
      <c r="D11" s="27">
        <v>53.2</v>
      </c>
      <c r="E11" s="17">
        <v>0</v>
      </c>
      <c r="F11" s="17">
        <v>0</v>
      </c>
      <c r="G11" s="17">
        <v>0</v>
      </c>
      <c r="I11" s="16" t="s">
        <v>20</v>
      </c>
      <c r="J11" s="27">
        <v>163.80000000000001</v>
      </c>
      <c r="K11" s="8">
        <v>3070</v>
      </c>
      <c r="L11" s="11">
        <v>2.5393485342019542</v>
      </c>
      <c r="M11" s="12">
        <v>7795.7999999999993</v>
      </c>
      <c r="O11" s="16" t="s">
        <v>20</v>
      </c>
      <c r="P11" s="20">
        <v>240</v>
      </c>
      <c r="Q11" s="8">
        <v>695</v>
      </c>
      <c r="R11" s="11">
        <v>2.48</v>
      </c>
      <c r="S11" s="12">
        <v>1723.6</v>
      </c>
    </row>
    <row r="12" spans="1:19" x14ac:dyDescent="0.25">
      <c r="A12" s="1" t="s">
        <v>3</v>
      </c>
      <c r="B12" t="s">
        <v>17</v>
      </c>
      <c r="C12" s="16" t="s">
        <v>20</v>
      </c>
      <c r="D12" s="27">
        <v>46.2</v>
      </c>
      <c r="E12" s="17">
        <v>0</v>
      </c>
      <c r="F12" s="17">
        <v>0</v>
      </c>
      <c r="G12" s="17">
        <v>0</v>
      </c>
      <c r="I12" s="16" t="s">
        <v>20</v>
      </c>
      <c r="J12" s="27">
        <v>172.4</v>
      </c>
      <c r="K12" s="8">
        <v>698</v>
      </c>
      <c r="L12" s="11">
        <v>2.7916905444126074</v>
      </c>
      <c r="M12" s="12">
        <v>1948.6</v>
      </c>
      <c r="O12" s="16" t="s">
        <v>20</v>
      </c>
      <c r="P12" s="20">
        <v>244</v>
      </c>
      <c r="Q12" s="8">
        <v>1741</v>
      </c>
      <c r="R12" s="11">
        <v>2.52</v>
      </c>
      <c r="S12" s="12">
        <v>4387.32</v>
      </c>
    </row>
    <row r="13" spans="1:19" x14ac:dyDescent="0.25">
      <c r="A13" s="1" t="s">
        <v>4</v>
      </c>
      <c r="B13" t="s">
        <v>17</v>
      </c>
      <c r="C13" s="16" t="s">
        <v>20</v>
      </c>
      <c r="D13" s="28">
        <v>51.4</v>
      </c>
      <c r="E13" s="17">
        <v>0</v>
      </c>
      <c r="F13" s="17">
        <v>0</v>
      </c>
      <c r="G13" s="17">
        <v>0</v>
      </c>
      <c r="I13" s="16" t="s">
        <v>20</v>
      </c>
      <c r="J13" s="27">
        <v>195.8</v>
      </c>
      <c r="K13" s="8">
        <v>2513</v>
      </c>
      <c r="L13" s="11">
        <v>2.478153601273378</v>
      </c>
      <c r="M13" s="12">
        <v>6227.5999999999985</v>
      </c>
      <c r="O13" s="16" t="s">
        <v>20</v>
      </c>
      <c r="P13" s="20">
        <v>213</v>
      </c>
      <c r="Q13" s="8">
        <v>1673</v>
      </c>
      <c r="R13" s="11">
        <v>2.4</v>
      </c>
      <c r="S13" s="12">
        <v>4015.2</v>
      </c>
    </row>
    <row r="14" spans="1:19" x14ac:dyDescent="0.25">
      <c r="A14" s="1" t="s">
        <v>5</v>
      </c>
      <c r="B14" t="s">
        <v>17</v>
      </c>
      <c r="C14" s="16" t="s">
        <v>20</v>
      </c>
      <c r="D14" s="28">
        <v>44.8</v>
      </c>
      <c r="E14" s="17">
        <v>0</v>
      </c>
      <c r="F14" s="17">
        <v>0</v>
      </c>
      <c r="G14" s="17">
        <v>0</v>
      </c>
      <c r="I14" s="16" t="s">
        <v>20</v>
      </c>
      <c r="J14" s="27">
        <v>203</v>
      </c>
      <c r="K14" s="8">
        <v>644</v>
      </c>
      <c r="L14" s="11">
        <v>2.5322981366459625</v>
      </c>
      <c r="M14" s="12">
        <v>1630.7999999999997</v>
      </c>
      <c r="O14" s="16" t="s">
        <v>20</v>
      </c>
      <c r="P14" s="20">
        <v>292</v>
      </c>
      <c r="Q14" s="8">
        <v>1639</v>
      </c>
      <c r="R14" s="11">
        <v>2.2000000000000002</v>
      </c>
      <c r="S14" s="12">
        <v>3605.8</v>
      </c>
    </row>
    <row r="15" spans="1:19" x14ac:dyDescent="0.25">
      <c r="A15" s="1" t="s">
        <v>6</v>
      </c>
      <c r="B15" t="s">
        <v>17</v>
      </c>
      <c r="C15" s="16" t="s">
        <v>20</v>
      </c>
      <c r="D15" s="20">
        <v>29.2</v>
      </c>
      <c r="E15" s="17">
        <v>0</v>
      </c>
      <c r="F15" s="17">
        <v>0</v>
      </c>
      <c r="G15" s="17">
        <v>0</v>
      </c>
      <c r="I15" s="16" t="s">
        <v>20</v>
      </c>
      <c r="J15" s="27">
        <v>176</v>
      </c>
      <c r="K15" s="8">
        <v>1916</v>
      </c>
      <c r="L15" s="11">
        <v>2.7243215031315242</v>
      </c>
      <c r="M15" s="12">
        <v>5219.8</v>
      </c>
      <c r="O15" s="16" t="s">
        <v>20</v>
      </c>
      <c r="P15" s="20">
        <v>202</v>
      </c>
      <c r="Q15" s="8">
        <v>2545</v>
      </c>
      <c r="R15" s="11">
        <v>2.44</v>
      </c>
      <c r="S15" s="12">
        <v>6209.8</v>
      </c>
    </row>
    <row r="16" spans="1:19" x14ac:dyDescent="0.25">
      <c r="A16" s="1" t="s">
        <v>7</v>
      </c>
      <c r="B16" t="s">
        <v>17</v>
      </c>
      <c r="C16" s="16" t="s">
        <v>20</v>
      </c>
      <c r="D16" s="20">
        <v>25.4</v>
      </c>
      <c r="E16" s="17">
        <v>0</v>
      </c>
      <c r="F16" s="17">
        <v>0</v>
      </c>
      <c r="G16" s="17">
        <v>0</v>
      </c>
      <c r="I16" s="16" t="s">
        <v>20</v>
      </c>
      <c r="J16" s="27">
        <v>139.19999999999999</v>
      </c>
      <c r="K16" s="8">
        <v>683</v>
      </c>
      <c r="L16" s="11">
        <v>2.2734992679355779</v>
      </c>
      <c r="M16" s="12">
        <v>1552.7999999999997</v>
      </c>
      <c r="O16" s="16" t="s">
        <v>20</v>
      </c>
      <c r="P16" s="20">
        <v>194</v>
      </c>
      <c r="Q16" s="8">
        <v>1823</v>
      </c>
      <c r="R16" s="11">
        <v>2.36</v>
      </c>
      <c r="S16" s="12">
        <v>4302.28</v>
      </c>
    </row>
    <row r="17" spans="1:19" x14ac:dyDescent="0.25">
      <c r="A17" s="1" t="s">
        <v>8</v>
      </c>
      <c r="B17" t="s">
        <v>17</v>
      </c>
      <c r="C17" s="16" t="s">
        <v>20</v>
      </c>
      <c r="D17" s="20">
        <v>34</v>
      </c>
      <c r="E17" s="17">
        <v>0</v>
      </c>
      <c r="F17" s="17">
        <v>0</v>
      </c>
      <c r="G17" s="17">
        <v>0</v>
      </c>
      <c r="I17" s="16" t="s">
        <v>20</v>
      </c>
      <c r="J17" s="27">
        <v>190.4</v>
      </c>
      <c r="K17" s="8">
        <v>1787</v>
      </c>
      <c r="L17" s="11">
        <v>2.5847789591494128</v>
      </c>
      <c r="M17" s="12">
        <v>4619.0000000000009</v>
      </c>
      <c r="O17" s="16" t="s">
        <v>20</v>
      </c>
      <c r="P17" s="20">
        <v>294</v>
      </c>
      <c r="Q17" s="8">
        <v>1697</v>
      </c>
      <c r="R17" s="11">
        <v>2.12</v>
      </c>
      <c r="S17" s="12">
        <v>3597.6400000000003</v>
      </c>
    </row>
    <row r="18" spans="1:19" x14ac:dyDescent="0.25">
      <c r="A18" s="1" t="s">
        <v>9</v>
      </c>
      <c r="B18" t="s">
        <v>17</v>
      </c>
      <c r="C18" s="16" t="s">
        <v>20</v>
      </c>
      <c r="D18" s="20">
        <v>33</v>
      </c>
      <c r="E18" s="17">
        <v>0</v>
      </c>
      <c r="F18" s="17">
        <v>0</v>
      </c>
      <c r="G18" s="17">
        <v>0</v>
      </c>
      <c r="I18" s="16" t="s">
        <v>20</v>
      </c>
      <c r="J18" s="27">
        <v>157.6</v>
      </c>
      <c r="K18" s="8">
        <v>2743</v>
      </c>
      <c r="L18" s="11">
        <v>2.5962085308056873</v>
      </c>
      <c r="M18" s="12">
        <v>7121.4000000000005</v>
      </c>
      <c r="O18" s="16" t="s">
        <v>20</v>
      </c>
      <c r="P18" s="20">
        <v>232</v>
      </c>
      <c r="Q18" s="8">
        <v>3260</v>
      </c>
      <c r="R18" s="11">
        <v>2.16</v>
      </c>
      <c r="S18" s="12">
        <v>7041.6</v>
      </c>
    </row>
    <row r="19" spans="1:19" x14ac:dyDescent="0.25">
      <c r="A19" s="1" t="s">
        <v>10</v>
      </c>
      <c r="B19" t="s">
        <v>17</v>
      </c>
      <c r="C19" s="16" t="s">
        <v>20</v>
      </c>
      <c r="D19" s="20">
        <v>56.8</v>
      </c>
      <c r="E19" s="17">
        <v>0</v>
      </c>
      <c r="F19" s="17">
        <v>0</v>
      </c>
      <c r="G19" s="17">
        <v>0</v>
      </c>
      <c r="I19" s="16" t="s">
        <v>20</v>
      </c>
      <c r="J19" s="27">
        <v>109.4</v>
      </c>
      <c r="K19" s="8">
        <v>2088</v>
      </c>
      <c r="L19" s="11">
        <v>2.7769157088122602</v>
      </c>
      <c r="M19" s="12">
        <v>5798.2</v>
      </c>
      <c r="O19" s="16" t="s">
        <v>20</v>
      </c>
      <c r="P19" s="20">
        <v>197</v>
      </c>
      <c r="Q19" s="8">
        <v>1596</v>
      </c>
      <c r="R19" s="11">
        <v>2.44</v>
      </c>
      <c r="S19" s="12">
        <v>3894.24</v>
      </c>
    </row>
    <row r="20" spans="1:19" x14ac:dyDescent="0.25">
      <c r="A20" s="1" t="s">
        <v>11</v>
      </c>
      <c r="B20" t="s">
        <v>17</v>
      </c>
      <c r="C20" s="16" t="s">
        <v>20</v>
      </c>
      <c r="D20" s="20">
        <v>70.400000000000006</v>
      </c>
      <c r="E20" s="17">
        <v>0</v>
      </c>
      <c r="F20" s="17">
        <v>0</v>
      </c>
      <c r="G20" s="17">
        <v>0</v>
      </c>
      <c r="I20" s="16" t="s">
        <v>20</v>
      </c>
      <c r="J20" s="27">
        <v>188.2</v>
      </c>
      <c r="K20" s="8">
        <v>3647</v>
      </c>
      <c r="L20" s="11">
        <v>2.4487523992322462</v>
      </c>
      <c r="M20" s="12">
        <v>8930.6000000000022</v>
      </c>
      <c r="O20" s="16" t="s">
        <v>20</v>
      </c>
      <c r="P20" s="20">
        <v>229</v>
      </c>
      <c r="Q20" s="8">
        <v>3541</v>
      </c>
      <c r="R20" s="11">
        <v>2.6</v>
      </c>
      <c r="S20" s="12">
        <v>9206.6</v>
      </c>
    </row>
    <row r="21" spans="1:19" x14ac:dyDescent="0.25">
      <c r="A21" s="1" t="s">
        <v>12</v>
      </c>
      <c r="B21" t="s">
        <v>17</v>
      </c>
      <c r="C21" s="16" t="s">
        <v>20</v>
      </c>
      <c r="D21" s="20">
        <v>20.399999999999999</v>
      </c>
      <c r="E21" s="17">
        <v>0</v>
      </c>
      <c r="F21" s="17">
        <v>0</v>
      </c>
      <c r="G21" s="17">
        <v>0</v>
      </c>
      <c r="I21" s="16" t="s">
        <v>20</v>
      </c>
      <c r="J21" s="27">
        <v>179.6</v>
      </c>
      <c r="K21" s="8">
        <v>626</v>
      </c>
      <c r="L21" s="11">
        <v>2.6858626198083071</v>
      </c>
      <c r="M21" s="12">
        <v>1681.3500000000001</v>
      </c>
      <c r="O21" s="16" t="s">
        <v>20</v>
      </c>
      <c r="P21" s="20">
        <v>290</v>
      </c>
      <c r="Q21" s="8">
        <v>1071</v>
      </c>
      <c r="R21" s="11">
        <v>2.6</v>
      </c>
      <c r="S21" s="12">
        <v>2784.6</v>
      </c>
    </row>
    <row r="22" spans="1:19" x14ac:dyDescent="0.25">
      <c r="A22" s="1" t="s">
        <v>13</v>
      </c>
      <c r="B22" t="s">
        <v>17</v>
      </c>
      <c r="C22" s="16" t="s">
        <v>20</v>
      </c>
      <c r="D22" s="20">
        <v>22.6</v>
      </c>
      <c r="E22" s="17">
        <v>0</v>
      </c>
      <c r="F22" s="17">
        <v>0</v>
      </c>
      <c r="G22" s="17">
        <v>0</v>
      </c>
      <c r="I22" s="16" t="s">
        <v>20</v>
      </c>
      <c r="J22" s="27">
        <v>158.4</v>
      </c>
      <c r="K22" s="8">
        <v>1171</v>
      </c>
      <c r="L22" s="11">
        <v>2.5827497865072586</v>
      </c>
      <c r="M22" s="12">
        <v>3024.3999999999996</v>
      </c>
      <c r="O22" s="16" t="s">
        <v>20</v>
      </c>
      <c r="P22" s="20">
        <v>199</v>
      </c>
      <c r="Q22" s="8">
        <v>1360</v>
      </c>
      <c r="R22" s="11">
        <v>2.4</v>
      </c>
      <c r="S22" s="12">
        <v>3264</v>
      </c>
    </row>
    <row r="23" spans="1:19" x14ac:dyDescent="0.25">
      <c r="A23" s="1" t="s">
        <v>14</v>
      </c>
      <c r="B23" t="s">
        <v>17</v>
      </c>
      <c r="C23" s="16" t="s">
        <v>20</v>
      </c>
      <c r="D23" s="20">
        <v>81.2</v>
      </c>
      <c r="E23" s="17">
        <v>0</v>
      </c>
      <c r="F23" s="17">
        <v>0</v>
      </c>
      <c r="G23" s="17">
        <v>0</v>
      </c>
      <c r="I23" s="16" t="s">
        <v>20</v>
      </c>
      <c r="J23" s="27">
        <v>219.8</v>
      </c>
      <c r="K23" s="8">
        <v>2978</v>
      </c>
      <c r="L23" s="11">
        <v>2.5599731363331091</v>
      </c>
      <c r="M23" s="12">
        <v>7623.5999999999985</v>
      </c>
      <c r="O23" s="16" t="s">
        <v>20</v>
      </c>
      <c r="P23" s="20">
        <v>297</v>
      </c>
      <c r="Q23" s="8">
        <v>4449</v>
      </c>
      <c r="R23" s="11">
        <v>2.3199999999999998</v>
      </c>
      <c r="S23" s="12">
        <v>10321.679999999998</v>
      </c>
    </row>
    <row r="24" spans="1:19" x14ac:dyDescent="0.25">
      <c r="A24" s="1" t="s">
        <v>15</v>
      </c>
      <c r="B24" t="s">
        <v>17</v>
      </c>
      <c r="C24" s="18" t="s">
        <v>20</v>
      </c>
      <c r="D24" s="26">
        <v>58.6</v>
      </c>
      <c r="E24" s="19">
        <v>0</v>
      </c>
      <c r="F24" s="19">
        <v>0</v>
      </c>
      <c r="G24" s="19">
        <v>0</v>
      </c>
      <c r="I24" s="18" t="s">
        <v>20</v>
      </c>
      <c r="J24" s="26">
        <v>218.6</v>
      </c>
      <c r="K24" s="9">
        <v>1491</v>
      </c>
      <c r="L24" s="13">
        <v>2.6193158953722326</v>
      </c>
      <c r="M24" s="15">
        <v>3905.3999999999987</v>
      </c>
      <c r="O24" s="18" t="s">
        <v>20</v>
      </c>
      <c r="P24" s="26">
        <v>291</v>
      </c>
      <c r="Q24" s="9">
        <v>1032</v>
      </c>
      <c r="R24" s="13">
        <v>2.44</v>
      </c>
      <c r="S24" s="15">
        <v>2518.08</v>
      </c>
    </row>
    <row r="25" spans="1:19" x14ac:dyDescent="0.25">
      <c r="B25" s="22" t="s">
        <v>28</v>
      </c>
      <c r="C25" s="23"/>
      <c r="D25" s="25">
        <f>AVERAGE(D10:D24)</f>
        <v>44.946666666666673</v>
      </c>
      <c r="E25" s="23"/>
      <c r="F25" s="23"/>
      <c r="G25" s="23"/>
      <c r="H25" s="23"/>
      <c r="I25" s="23"/>
      <c r="J25" s="25">
        <f t="shared" ref="J25:M25" si="0">AVERAGE(J10:J24)</f>
        <v>174.88000000000002</v>
      </c>
      <c r="K25" s="24">
        <f t="shared" si="0"/>
        <v>1906.2</v>
      </c>
      <c r="L25" s="29">
        <f t="shared" si="0"/>
        <v>2.5706393109207095</v>
      </c>
      <c r="M25" s="25">
        <f t="shared" si="0"/>
        <v>4872.2366666666658</v>
      </c>
      <c r="N25" s="23"/>
      <c r="O25" s="23"/>
      <c r="P25" s="25">
        <f t="shared" ref="P25:S25" si="1">AVERAGE(P10:P24)</f>
        <v>239.13333333333333</v>
      </c>
      <c r="Q25" s="24">
        <f t="shared" si="1"/>
        <v>1989.6666666666667</v>
      </c>
      <c r="R25" s="29">
        <f t="shared" si="1"/>
        <v>2.3866666666666672</v>
      </c>
      <c r="S25" s="25">
        <f t="shared" si="1"/>
        <v>4724.6533333333327</v>
      </c>
    </row>
    <row r="27" spans="1:19" x14ac:dyDescent="0.25">
      <c r="C27" s="56" t="s">
        <v>72</v>
      </c>
      <c r="D27" s="56"/>
      <c r="E27" s="56"/>
      <c r="F27" s="56"/>
      <c r="G27" s="56"/>
      <c r="O27" s="21" t="s">
        <v>27</v>
      </c>
    </row>
    <row r="28" spans="1:19" x14ac:dyDescent="0.25">
      <c r="C28" s="56"/>
      <c r="D28" s="56"/>
      <c r="E28" s="56"/>
      <c r="F28" s="56"/>
      <c r="G28" s="56"/>
    </row>
  </sheetData>
  <mergeCells count="4">
    <mergeCell ref="C8:G8"/>
    <mergeCell ref="I8:M8"/>
    <mergeCell ref="O8:S8"/>
    <mergeCell ref="C27:G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workbookViewId="0">
      <selection activeCell="S17" sqref="S17"/>
    </sheetView>
  </sheetViews>
  <sheetFormatPr defaultRowHeight="15" x14ac:dyDescent="0.25"/>
  <cols>
    <col min="4" max="4" width="10.5703125" customWidth="1"/>
    <col min="6" max="6" width="12.140625" customWidth="1"/>
    <col min="9" max="11" width="13.5703125" customWidth="1"/>
  </cols>
  <sheetData>
    <row r="1" spans="1:1" x14ac:dyDescent="0.25">
      <c r="A1" s="4" t="s">
        <v>39</v>
      </c>
    </row>
    <row r="2" spans="1:1" x14ac:dyDescent="0.25">
      <c r="A2" t="s">
        <v>36</v>
      </c>
    </row>
    <row r="3" spans="1:1" x14ac:dyDescent="0.25">
      <c r="A3" t="s">
        <v>46</v>
      </c>
    </row>
    <row r="4" spans="1:1" x14ac:dyDescent="0.25">
      <c r="A4" t="s">
        <v>37</v>
      </c>
    </row>
    <row r="6" spans="1:1" x14ac:dyDescent="0.25">
      <c r="A6" t="s">
        <v>43</v>
      </c>
    </row>
    <row r="7" spans="1:1" x14ac:dyDescent="0.25">
      <c r="A7" t="s">
        <v>38</v>
      </c>
    </row>
    <row r="8" spans="1:1" x14ac:dyDescent="0.25">
      <c r="A8" t="s">
        <v>40</v>
      </c>
    </row>
    <row r="9" spans="1:1" x14ac:dyDescent="0.25">
      <c r="A9" t="s">
        <v>41</v>
      </c>
    </row>
    <row r="10" spans="1:1" x14ac:dyDescent="0.25">
      <c r="A10" t="s">
        <v>48</v>
      </c>
    </row>
    <row r="12" spans="1:1" ht="15.75" customHeight="1" x14ac:dyDescent="0.25">
      <c r="A12" t="s">
        <v>42</v>
      </c>
    </row>
    <row r="13" spans="1:1" ht="15.75" customHeight="1" x14ac:dyDescent="0.25"/>
    <row r="14" spans="1:1" ht="15.75" customHeight="1" x14ac:dyDescent="0.25">
      <c r="A14" t="s">
        <v>47</v>
      </c>
    </row>
    <row r="15" spans="1:1" ht="15.75" customHeight="1" x14ac:dyDescent="0.25"/>
    <row r="17" spans="4:11" ht="90" x14ac:dyDescent="0.25">
      <c r="D17" s="30" t="s">
        <v>30</v>
      </c>
      <c r="E17" s="2" t="s">
        <v>73</v>
      </c>
      <c r="F17" s="2" t="s">
        <v>74</v>
      </c>
      <c r="I17" s="2" t="s">
        <v>44</v>
      </c>
      <c r="J17" s="2" t="s">
        <v>75</v>
      </c>
      <c r="K17" s="2" t="s">
        <v>76</v>
      </c>
    </row>
    <row r="18" spans="4:11" x14ac:dyDescent="0.25">
      <c r="D18" t="s">
        <v>32</v>
      </c>
      <c r="E18">
        <v>20</v>
      </c>
      <c r="F18" s="31">
        <f t="shared" ref="F18:F29" si="0">E18/200</f>
        <v>0.1</v>
      </c>
      <c r="I18" t="s">
        <v>32</v>
      </c>
      <c r="J18" s="10">
        <f>AVERAGE(E18:E23)</f>
        <v>13.833333333333334</v>
      </c>
      <c r="K18" s="31">
        <f>AVERAGE(F18:F23)</f>
        <v>6.9166666666666668E-2</v>
      </c>
    </row>
    <row r="19" spans="4:11" x14ac:dyDescent="0.25">
      <c r="D19" t="s">
        <v>32</v>
      </c>
      <c r="E19">
        <v>9</v>
      </c>
      <c r="F19" s="31">
        <f t="shared" si="0"/>
        <v>4.4999999999999998E-2</v>
      </c>
      <c r="I19" t="s">
        <v>31</v>
      </c>
      <c r="J19" s="10">
        <f>AVERAGE(E24:E29)</f>
        <v>9.1666666666666661</v>
      </c>
      <c r="K19" s="31">
        <f>AVERAGE(F24:F29)</f>
        <v>4.5833333333333337E-2</v>
      </c>
    </row>
    <row r="20" spans="4:11" x14ac:dyDescent="0.25">
      <c r="D20" t="s">
        <v>32</v>
      </c>
      <c r="E20">
        <v>21</v>
      </c>
      <c r="F20" s="31">
        <f t="shared" si="0"/>
        <v>0.105</v>
      </c>
      <c r="I20" t="s">
        <v>33</v>
      </c>
      <c r="J20" s="10">
        <f>AVERAGE(E30:E35)</f>
        <v>16.833333333333332</v>
      </c>
      <c r="K20" s="31">
        <f>AVERAGE(F30:F35)</f>
        <v>8.4166666666666667E-2</v>
      </c>
    </row>
    <row r="21" spans="4:11" x14ac:dyDescent="0.25">
      <c r="D21" t="s">
        <v>32</v>
      </c>
      <c r="E21">
        <v>12</v>
      </c>
      <c r="F21" s="31">
        <f t="shared" si="0"/>
        <v>0.06</v>
      </c>
      <c r="I21" t="s">
        <v>34</v>
      </c>
      <c r="J21" s="10">
        <f>AVERAGE(E36:E41)</f>
        <v>3.3333333333333335</v>
      </c>
      <c r="K21" s="31">
        <f>AVERAGE(F36:F41)</f>
        <v>1.6666666666666666E-2</v>
      </c>
    </row>
    <row r="22" spans="4:11" x14ac:dyDescent="0.25">
      <c r="D22" t="s">
        <v>32</v>
      </c>
      <c r="E22">
        <v>14</v>
      </c>
      <c r="F22" s="31">
        <f t="shared" si="0"/>
        <v>7.0000000000000007E-2</v>
      </c>
      <c r="I22" t="s">
        <v>35</v>
      </c>
      <c r="J22" s="10">
        <f>AVERAGE(E42:E47)</f>
        <v>6.833333333333333</v>
      </c>
      <c r="K22" s="31">
        <f>AVERAGE(F42:F47)</f>
        <v>3.4166666666666672E-2</v>
      </c>
    </row>
    <row r="23" spans="4:11" x14ac:dyDescent="0.25">
      <c r="D23" t="s">
        <v>32</v>
      </c>
      <c r="E23">
        <v>7</v>
      </c>
      <c r="F23" s="31">
        <f t="shared" si="0"/>
        <v>3.5000000000000003E-2</v>
      </c>
    </row>
    <row r="24" spans="4:11" x14ac:dyDescent="0.25">
      <c r="D24" t="s">
        <v>31</v>
      </c>
      <c r="E24">
        <v>7</v>
      </c>
      <c r="F24" s="31">
        <f t="shared" si="0"/>
        <v>3.5000000000000003E-2</v>
      </c>
    </row>
    <row r="25" spans="4:11" x14ac:dyDescent="0.25">
      <c r="D25" t="s">
        <v>31</v>
      </c>
      <c r="E25">
        <v>11</v>
      </c>
      <c r="F25" s="31">
        <f t="shared" si="0"/>
        <v>5.5E-2</v>
      </c>
    </row>
    <row r="26" spans="4:11" x14ac:dyDescent="0.25">
      <c r="D26" t="s">
        <v>31</v>
      </c>
      <c r="E26">
        <v>18</v>
      </c>
      <c r="F26" s="31">
        <f t="shared" si="0"/>
        <v>0.09</v>
      </c>
    </row>
    <row r="27" spans="4:11" x14ac:dyDescent="0.25">
      <c r="D27" t="s">
        <v>31</v>
      </c>
      <c r="E27">
        <v>5</v>
      </c>
      <c r="F27" s="31">
        <f t="shared" si="0"/>
        <v>2.5000000000000001E-2</v>
      </c>
    </row>
    <row r="28" spans="4:11" x14ac:dyDescent="0.25">
      <c r="D28" t="s">
        <v>31</v>
      </c>
      <c r="E28">
        <v>9</v>
      </c>
      <c r="F28" s="31">
        <f t="shared" si="0"/>
        <v>4.4999999999999998E-2</v>
      </c>
    </row>
    <row r="29" spans="4:11" x14ac:dyDescent="0.25">
      <c r="D29" t="s">
        <v>31</v>
      </c>
      <c r="E29">
        <v>5</v>
      </c>
      <c r="F29" s="31">
        <f t="shared" si="0"/>
        <v>2.5000000000000001E-2</v>
      </c>
    </row>
    <row r="30" spans="4:11" x14ac:dyDescent="0.25">
      <c r="D30" t="s">
        <v>33</v>
      </c>
      <c r="E30">
        <v>15</v>
      </c>
      <c r="F30" s="31">
        <f t="shared" ref="F30:F47" si="1">E30/200</f>
        <v>7.4999999999999997E-2</v>
      </c>
    </row>
    <row r="31" spans="4:11" x14ac:dyDescent="0.25">
      <c r="D31" t="s">
        <v>33</v>
      </c>
      <c r="E31">
        <v>11</v>
      </c>
      <c r="F31" s="31">
        <f t="shared" si="1"/>
        <v>5.5E-2</v>
      </c>
    </row>
    <row r="32" spans="4:11" x14ac:dyDescent="0.25">
      <c r="D32" t="s">
        <v>33</v>
      </c>
      <c r="E32">
        <v>22</v>
      </c>
      <c r="F32" s="31">
        <f t="shared" si="1"/>
        <v>0.11</v>
      </c>
    </row>
    <row r="33" spans="4:6" x14ac:dyDescent="0.25">
      <c r="D33" t="s">
        <v>33</v>
      </c>
      <c r="E33">
        <v>28</v>
      </c>
      <c r="F33" s="31">
        <f t="shared" si="1"/>
        <v>0.14000000000000001</v>
      </c>
    </row>
    <row r="34" spans="4:6" x14ac:dyDescent="0.25">
      <c r="D34" t="s">
        <v>33</v>
      </c>
      <c r="E34">
        <v>15</v>
      </c>
      <c r="F34" s="31">
        <f t="shared" si="1"/>
        <v>7.4999999999999997E-2</v>
      </c>
    </row>
    <row r="35" spans="4:6" x14ac:dyDescent="0.25">
      <c r="D35" t="s">
        <v>33</v>
      </c>
      <c r="E35">
        <v>10</v>
      </c>
      <c r="F35" s="31">
        <f t="shared" si="1"/>
        <v>0.05</v>
      </c>
    </row>
    <row r="36" spans="4:6" x14ac:dyDescent="0.25">
      <c r="D36" t="s">
        <v>34</v>
      </c>
      <c r="E36">
        <v>7</v>
      </c>
      <c r="F36" s="31">
        <f t="shared" si="1"/>
        <v>3.5000000000000003E-2</v>
      </c>
    </row>
    <row r="37" spans="4:6" x14ac:dyDescent="0.25">
      <c r="D37" t="s">
        <v>34</v>
      </c>
      <c r="E37">
        <v>3</v>
      </c>
      <c r="F37" s="31">
        <f t="shared" si="1"/>
        <v>1.4999999999999999E-2</v>
      </c>
    </row>
    <row r="38" spans="4:6" x14ac:dyDescent="0.25">
      <c r="D38" t="s">
        <v>34</v>
      </c>
      <c r="E38">
        <v>4</v>
      </c>
      <c r="F38" s="31">
        <f t="shared" si="1"/>
        <v>0.02</v>
      </c>
    </row>
    <row r="39" spans="4:6" x14ac:dyDescent="0.25">
      <c r="D39" t="s">
        <v>34</v>
      </c>
      <c r="E39">
        <v>3</v>
      </c>
      <c r="F39" s="31">
        <f t="shared" si="1"/>
        <v>1.4999999999999999E-2</v>
      </c>
    </row>
    <row r="40" spans="4:6" x14ac:dyDescent="0.25">
      <c r="D40" t="s">
        <v>34</v>
      </c>
      <c r="E40">
        <v>1</v>
      </c>
      <c r="F40" s="31">
        <f t="shared" si="1"/>
        <v>5.0000000000000001E-3</v>
      </c>
    </row>
    <row r="41" spans="4:6" x14ac:dyDescent="0.25">
      <c r="D41" t="s">
        <v>34</v>
      </c>
      <c r="E41">
        <v>2</v>
      </c>
      <c r="F41" s="31">
        <f t="shared" si="1"/>
        <v>0.01</v>
      </c>
    </row>
    <row r="42" spans="4:6" x14ac:dyDescent="0.25">
      <c r="D42" t="s">
        <v>35</v>
      </c>
      <c r="E42">
        <v>15</v>
      </c>
      <c r="F42" s="31">
        <f t="shared" si="1"/>
        <v>7.4999999999999997E-2</v>
      </c>
    </row>
    <row r="43" spans="4:6" x14ac:dyDescent="0.25">
      <c r="D43" t="s">
        <v>35</v>
      </c>
      <c r="E43">
        <v>5</v>
      </c>
      <c r="F43" s="31">
        <f t="shared" si="1"/>
        <v>2.5000000000000001E-2</v>
      </c>
    </row>
    <row r="44" spans="4:6" x14ac:dyDescent="0.25">
      <c r="D44" t="s">
        <v>35</v>
      </c>
      <c r="E44">
        <v>13</v>
      </c>
      <c r="F44" s="31">
        <f t="shared" si="1"/>
        <v>6.5000000000000002E-2</v>
      </c>
    </row>
    <row r="45" spans="4:6" x14ac:dyDescent="0.25">
      <c r="D45" t="s">
        <v>35</v>
      </c>
      <c r="E45">
        <v>1</v>
      </c>
      <c r="F45" s="31">
        <f t="shared" si="1"/>
        <v>5.0000000000000001E-3</v>
      </c>
    </row>
    <row r="46" spans="4:6" x14ac:dyDescent="0.25">
      <c r="D46" t="s">
        <v>35</v>
      </c>
      <c r="E46">
        <v>4</v>
      </c>
      <c r="F46" s="31">
        <f t="shared" si="1"/>
        <v>0.02</v>
      </c>
    </row>
    <row r="47" spans="4:6" x14ac:dyDescent="0.25">
      <c r="D47" t="s">
        <v>35</v>
      </c>
      <c r="E47">
        <v>3</v>
      </c>
      <c r="F47" s="31">
        <f t="shared" si="1"/>
        <v>1.4999999999999999E-2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>
      <selection activeCell="L23" sqref="L23"/>
    </sheetView>
  </sheetViews>
  <sheetFormatPr defaultRowHeight="15" x14ac:dyDescent="0.25"/>
  <cols>
    <col min="1" max="1" width="13.42578125" customWidth="1"/>
    <col min="2" max="2" width="11.42578125" customWidth="1"/>
    <col min="3" max="3" width="12.28515625" customWidth="1"/>
    <col min="17" max="17" width="20" customWidth="1"/>
  </cols>
  <sheetData>
    <row r="1" spans="1:17" x14ac:dyDescent="0.25">
      <c r="A1" s="4" t="s">
        <v>55</v>
      </c>
    </row>
    <row r="2" spans="1:17" x14ac:dyDescent="0.25">
      <c r="A2" s="4"/>
    </row>
    <row r="3" spans="1:17" x14ac:dyDescent="0.25">
      <c r="A3" s="35" t="s">
        <v>56</v>
      </c>
    </row>
    <row r="4" spans="1:17" x14ac:dyDescent="0.25">
      <c r="A4" s="35"/>
    </row>
    <row r="5" spans="1:17" x14ac:dyDescent="0.25">
      <c r="A5" s="35" t="s">
        <v>64</v>
      </c>
    </row>
    <row r="6" spans="1:17" x14ac:dyDescent="0.25">
      <c r="A6" s="35" t="s">
        <v>65</v>
      </c>
    </row>
    <row r="7" spans="1:17" x14ac:dyDescent="0.25">
      <c r="A7" s="35"/>
    </row>
    <row r="8" spans="1:17" x14ac:dyDescent="0.25">
      <c r="A8" t="s">
        <v>66</v>
      </c>
    </row>
    <row r="9" spans="1:17" x14ac:dyDescent="0.25">
      <c r="A9" t="s">
        <v>49</v>
      </c>
    </row>
    <row r="10" spans="1:17" x14ac:dyDescent="0.25">
      <c r="A10" t="s">
        <v>62</v>
      </c>
    </row>
    <row r="12" spans="1:17" x14ac:dyDescent="0.25">
      <c r="A12" t="s">
        <v>63</v>
      </c>
    </row>
    <row r="14" spans="1:17" x14ac:dyDescent="0.25">
      <c r="A14" s="36" t="s">
        <v>67</v>
      </c>
      <c r="D14" s="46" t="s">
        <v>59</v>
      </c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8"/>
    </row>
    <row r="15" spans="1:17" ht="45" x14ac:dyDescent="0.25">
      <c r="A15" s="2" t="s">
        <v>30</v>
      </c>
      <c r="B15" s="2" t="s">
        <v>57</v>
      </c>
      <c r="C15" s="2" t="s">
        <v>58</v>
      </c>
      <c r="D15" s="39">
        <v>42831</v>
      </c>
      <c r="E15" s="33">
        <v>42834</v>
      </c>
      <c r="F15" s="33">
        <v>42835</v>
      </c>
      <c r="G15" s="33">
        <v>42836</v>
      </c>
      <c r="H15" s="33">
        <v>42837</v>
      </c>
      <c r="I15" s="33">
        <v>42838</v>
      </c>
      <c r="J15" s="33">
        <v>42839</v>
      </c>
      <c r="K15" s="33">
        <v>42840</v>
      </c>
      <c r="L15" s="33">
        <v>42842</v>
      </c>
      <c r="M15" s="33">
        <v>42845</v>
      </c>
      <c r="N15" s="33">
        <v>42847</v>
      </c>
      <c r="O15" s="40">
        <v>42850</v>
      </c>
      <c r="Q15" s="2" t="s">
        <v>60</v>
      </c>
    </row>
    <row r="16" spans="1:17" x14ac:dyDescent="0.25">
      <c r="A16" s="45" t="s">
        <v>50</v>
      </c>
      <c r="B16" s="45" t="s">
        <v>51</v>
      </c>
      <c r="C16" s="45">
        <v>1</v>
      </c>
      <c r="D16" s="41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1</v>
      </c>
      <c r="L16" s="8">
        <v>6</v>
      </c>
      <c r="M16" s="8">
        <v>6</v>
      </c>
      <c r="N16" s="8">
        <v>6</v>
      </c>
      <c r="O16" s="42">
        <v>7</v>
      </c>
      <c r="Q16" s="47">
        <f>O16/25</f>
        <v>0.28000000000000003</v>
      </c>
    </row>
    <row r="17" spans="1:17" x14ac:dyDescent="0.25">
      <c r="A17" s="45" t="s">
        <v>50</v>
      </c>
      <c r="B17" s="45" t="s">
        <v>51</v>
      </c>
      <c r="C17" s="45">
        <v>2</v>
      </c>
      <c r="D17" s="41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3</v>
      </c>
      <c r="L17" s="8">
        <v>5</v>
      </c>
      <c r="M17" s="8">
        <v>5</v>
      </c>
      <c r="N17" s="8">
        <v>5</v>
      </c>
      <c r="O17" s="42">
        <v>5</v>
      </c>
      <c r="Q17" s="47">
        <f t="shared" ref="Q17:Q33" si="0">O17/25</f>
        <v>0.2</v>
      </c>
    </row>
    <row r="18" spans="1:17" x14ac:dyDescent="0.25">
      <c r="A18" s="45" t="s">
        <v>50</v>
      </c>
      <c r="B18" s="45" t="s">
        <v>51</v>
      </c>
      <c r="C18" s="45">
        <v>3</v>
      </c>
      <c r="D18" s="41">
        <v>0</v>
      </c>
      <c r="E18" s="8">
        <v>0</v>
      </c>
      <c r="F18" s="8">
        <v>0</v>
      </c>
      <c r="G18" s="8">
        <v>1</v>
      </c>
      <c r="H18" s="8">
        <v>1</v>
      </c>
      <c r="I18" s="8">
        <v>2</v>
      </c>
      <c r="J18" s="8">
        <v>2</v>
      </c>
      <c r="K18" s="8">
        <v>3</v>
      </c>
      <c r="L18" s="8">
        <v>4</v>
      </c>
      <c r="M18" s="8">
        <v>4</v>
      </c>
      <c r="N18" s="8">
        <v>5</v>
      </c>
      <c r="O18" s="42">
        <v>5</v>
      </c>
      <c r="Q18" s="47">
        <f t="shared" si="0"/>
        <v>0.2</v>
      </c>
    </row>
    <row r="19" spans="1:17" x14ac:dyDescent="0.25">
      <c r="A19" s="45" t="s">
        <v>50</v>
      </c>
      <c r="B19" s="45" t="s">
        <v>52</v>
      </c>
      <c r="C19" s="45">
        <v>1</v>
      </c>
      <c r="D19" s="41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5</v>
      </c>
      <c r="M19" s="8">
        <v>6</v>
      </c>
      <c r="N19" s="8">
        <v>6</v>
      </c>
      <c r="O19" s="42">
        <v>6</v>
      </c>
      <c r="Q19" s="47">
        <f t="shared" si="0"/>
        <v>0.24</v>
      </c>
    </row>
    <row r="20" spans="1:17" x14ac:dyDescent="0.25">
      <c r="A20" s="45" t="s">
        <v>50</v>
      </c>
      <c r="B20" s="45" t="s">
        <v>52</v>
      </c>
      <c r="C20" s="45">
        <v>2</v>
      </c>
      <c r="D20" s="41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1</v>
      </c>
      <c r="L20" s="8">
        <v>3</v>
      </c>
      <c r="M20" s="8">
        <v>3</v>
      </c>
      <c r="N20" s="8">
        <v>3</v>
      </c>
      <c r="O20" s="42">
        <v>3</v>
      </c>
      <c r="Q20" s="47">
        <f t="shared" si="0"/>
        <v>0.12</v>
      </c>
    </row>
    <row r="21" spans="1:17" x14ac:dyDescent="0.25">
      <c r="A21" s="45" t="s">
        <v>50</v>
      </c>
      <c r="B21" s="45" t="s">
        <v>52</v>
      </c>
      <c r="C21" s="45">
        <v>3</v>
      </c>
      <c r="D21" s="41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4</v>
      </c>
      <c r="M21" s="8">
        <v>4</v>
      </c>
      <c r="N21" s="8">
        <v>7</v>
      </c>
      <c r="O21" s="42">
        <v>7</v>
      </c>
      <c r="Q21" s="47">
        <f t="shared" si="0"/>
        <v>0.28000000000000003</v>
      </c>
    </row>
    <row r="22" spans="1:17" x14ac:dyDescent="0.25">
      <c r="A22" s="36" t="s">
        <v>53</v>
      </c>
      <c r="B22" s="45" t="s">
        <v>51</v>
      </c>
      <c r="C22" s="45">
        <v>4</v>
      </c>
      <c r="D22" s="41">
        <v>0</v>
      </c>
      <c r="E22" s="8">
        <v>0</v>
      </c>
      <c r="F22" s="8">
        <v>4</v>
      </c>
      <c r="G22" s="8">
        <v>5</v>
      </c>
      <c r="H22" s="8">
        <v>5</v>
      </c>
      <c r="I22" s="8">
        <v>5</v>
      </c>
      <c r="J22" s="8">
        <v>5</v>
      </c>
      <c r="K22" s="8">
        <v>5</v>
      </c>
      <c r="L22" s="8">
        <v>5</v>
      </c>
      <c r="M22" s="8">
        <v>5</v>
      </c>
      <c r="N22" s="8">
        <v>5</v>
      </c>
      <c r="O22" s="42">
        <v>5</v>
      </c>
      <c r="Q22" s="47">
        <f t="shared" si="0"/>
        <v>0.2</v>
      </c>
    </row>
    <row r="23" spans="1:17" x14ac:dyDescent="0.25">
      <c r="A23" s="36" t="s">
        <v>53</v>
      </c>
      <c r="B23" s="45" t="s">
        <v>51</v>
      </c>
      <c r="C23" s="45">
        <v>5</v>
      </c>
      <c r="D23" s="41">
        <v>0</v>
      </c>
      <c r="E23" s="8">
        <v>5</v>
      </c>
      <c r="F23" s="8">
        <v>6</v>
      </c>
      <c r="G23" s="8">
        <v>7</v>
      </c>
      <c r="H23" s="8">
        <v>7</v>
      </c>
      <c r="I23" s="8">
        <v>7</v>
      </c>
      <c r="J23" s="8">
        <v>7</v>
      </c>
      <c r="K23" s="8">
        <v>7</v>
      </c>
      <c r="L23" s="8">
        <v>7</v>
      </c>
      <c r="M23" s="8">
        <v>7</v>
      </c>
      <c r="N23" s="8">
        <v>7</v>
      </c>
      <c r="O23" s="42">
        <v>7</v>
      </c>
      <c r="Q23" s="47">
        <f t="shared" si="0"/>
        <v>0.28000000000000003</v>
      </c>
    </row>
    <row r="24" spans="1:17" x14ac:dyDescent="0.25">
      <c r="A24" s="36" t="s">
        <v>53</v>
      </c>
      <c r="B24" s="45" t="s">
        <v>51</v>
      </c>
      <c r="C24" s="45">
        <v>6</v>
      </c>
      <c r="D24" s="41">
        <v>0</v>
      </c>
      <c r="E24" s="8">
        <v>4</v>
      </c>
      <c r="F24" s="8">
        <v>4</v>
      </c>
      <c r="G24" s="8">
        <v>4</v>
      </c>
      <c r="H24" s="8">
        <v>4</v>
      </c>
      <c r="I24" s="8">
        <v>5</v>
      </c>
      <c r="J24" s="8">
        <v>5</v>
      </c>
      <c r="K24" s="8">
        <v>5</v>
      </c>
      <c r="L24" s="8">
        <v>5</v>
      </c>
      <c r="M24" s="8">
        <v>6</v>
      </c>
      <c r="N24" s="8">
        <v>6</v>
      </c>
      <c r="O24" s="42">
        <v>7</v>
      </c>
      <c r="Q24" s="47">
        <f t="shared" si="0"/>
        <v>0.28000000000000003</v>
      </c>
    </row>
    <row r="25" spans="1:17" x14ac:dyDescent="0.25">
      <c r="A25" s="36" t="s">
        <v>53</v>
      </c>
      <c r="B25" s="45" t="s">
        <v>52</v>
      </c>
      <c r="C25" s="45">
        <v>4</v>
      </c>
      <c r="D25" s="41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1</v>
      </c>
      <c r="M25" s="8">
        <v>1</v>
      </c>
      <c r="N25" s="8">
        <v>2</v>
      </c>
      <c r="O25" s="42">
        <v>2</v>
      </c>
      <c r="Q25" s="47">
        <f t="shared" si="0"/>
        <v>0.08</v>
      </c>
    </row>
    <row r="26" spans="1:17" x14ac:dyDescent="0.25">
      <c r="A26" s="36" t="s">
        <v>53</v>
      </c>
      <c r="B26" s="45" t="s">
        <v>52</v>
      </c>
      <c r="C26" s="45">
        <v>5</v>
      </c>
      <c r="D26" s="41">
        <v>0</v>
      </c>
      <c r="E26" s="8">
        <v>0</v>
      </c>
      <c r="F26" s="8">
        <v>1</v>
      </c>
      <c r="G26" s="8">
        <v>2</v>
      </c>
      <c r="H26" s="8">
        <v>2</v>
      </c>
      <c r="I26" s="8">
        <v>2</v>
      </c>
      <c r="J26" s="8">
        <v>2</v>
      </c>
      <c r="K26" s="8">
        <v>3</v>
      </c>
      <c r="L26" s="8">
        <v>3</v>
      </c>
      <c r="M26" s="8">
        <v>3</v>
      </c>
      <c r="N26" s="8">
        <v>5</v>
      </c>
      <c r="O26" s="42">
        <v>5</v>
      </c>
      <c r="Q26" s="47">
        <f t="shared" si="0"/>
        <v>0.2</v>
      </c>
    </row>
    <row r="27" spans="1:17" x14ac:dyDescent="0.25">
      <c r="A27" s="36" t="s">
        <v>53</v>
      </c>
      <c r="B27" s="45" t="s">
        <v>52</v>
      </c>
      <c r="C27" s="45">
        <v>6</v>
      </c>
      <c r="D27" s="41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1</v>
      </c>
      <c r="N27" s="8">
        <v>1</v>
      </c>
      <c r="O27" s="42">
        <v>1</v>
      </c>
      <c r="Q27" s="47">
        <f t="shared" si="0"/>
        <v>0.04</v>
      </c>
    </row>
    <row r="28" spans="1:17" x14ac:dyDescent="0.25">
      <c r="A28" s="36" t="s">
        <v>54</v>
      </c>
      <c r="B28" s="45" t="s">
        <v>51</v>
      </c>
      <c r="C28" s="45">
        <v>7</v>
      </c>
      <c r="D28" s="41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42">
        <v>0</v>
      </c>
      <c r="Q28" s="47">
        <f t="shared" si="0"/>
        <v>0</v>
      </c>
    </row>
    <row r="29" spans="1:17" x14ac:dyDescent="0.25">
      <c r="A29" s="36" t="s">
        <v>54</v>
      </c>
      <c r="B29" s="45" t="s">
        <v>51</v>
      </c>
      <c r="C29" s="45">
        <v>8</v>
      </c>
      <c r="D29" s="41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42">
        <v>0</v>
      </c>
      <c r="Q29" s="47">
        <f t="shared" si="0"/>
        <v>0</v>
      </c>
    </row>
    <row r="30" spans="1:17" x14ac:dyDescent="0.25">
      <c r="A30" s="36" t="s">
        <v>54</v>
      </c>
      <c r="B30" s="45" t="s">
        <v>51</v>
      </c>
      <c r="C30" s="45">
        <v>9</v>
      </c>
      <c r="D30" s="41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42">
        <v>0</v>
      </c>
      <c r="Q30" s="47">
        <f t="shared" si="0"/>
        <v>0</v>
      </c>
    </row>
    <row r="31" spans="1:17" x14ac:dyDescent="0.25">
      <c r="A31" s="36" t="s">
        <v>54</v>
      </c>
      <c r="B31" s="45" t="s">
        <v>52</v>
      </c>
      <c r="C31" s="45">
        <v>7</v>
      </c>
      <c r="D31" s="41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42">
        <v>0</v>
      </c>
      <c r="Q31" s="47">
        <f t="shared" si="0"/>
        <v>0</v>
      </c>
    </row>
    <row r="32" spans="1:17" x14ac:dyDescent="0.25">
      <c r="A32" s="36" t="s">
        <v>54</v>
      </c>
      <c r="B32" s="45" t="s">
        <v>52</v>
      </c>
      <c r="C32" s="45">
        <v>8</v>
      </c>
      <c r="D32" s="41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42">
        <v>0</v>
      </c>
      <c r="Q32" s="47">
        <f t="shared" si="0"/>
        <v>0</v>
      </c>
    </row>
    <row r="33" spans="1:17" x14ac:dyDescent="0.25">
      <c r="A33" s="32" t="s">
        <v>54</v>
      </c>
      <c r="B33" s="19" t="s">
        <v>52</v>
      </c>
      <c r="C33" s="19">
        <v>9</v>
      </c>
      <c r="D33" s="43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44">
        <v>0</v>
      </c>
      <c r="Q33" s="47">
        <f t="shared" si="0"/>
        <v>0</v>
      </c>
    </row>
    <row r="34" spans="1:17" x14ac:dyDescent="0.25">
      <c r="A34" s="48"/>
      <c r="B34" s="17"/>
      <c r="C34" s="1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Q34" s="47"/>
    </row>
    <row r="36" spans="1:17" x14ac:dyDescent="0.25">
      <c r="B36" s="4" t="s">
        <v>68</v>
      </c>
    </row>
    <row r="37" spans="1:17" ht="36" customHeight="1" x14ac:dyDescent="0.25">
      <c r="B37" s="49" t="s">
        <v>30</v>
      </c>
      <c r="C37" s="2" t="s">
        <v>57</v>
      </c>
      <c r="D37" s="33">
        <v>42831</v>
      </c>
      <c r="E37" s="33">
        <v>42834</v>
      </c>
      <c r="F37" s="33">
        <v>42835</v>
      </c>
      <c r="G37" s="33">
        <v>42836</v>
      </c>
      <c r="H37" s="33">
        <v>42837</v>
      </c>
      <c r="I37" s="33">
        <v>42838</v>
      </c>
      <c r="J37" s="33">
        <v>42839</v>
      </c>
      <c r="K37" s="33">
        <v>42840</v>
      </c>
      <c r="L37" s="33">
        <v>42842</v>
      </c>
      <c r="M37" s="33">
        <v>42845</v>
      </c>
      <c r="N37" s="33">
        <v>42847</v>
      </c>
      <c r="O37" s="33">
        <v>42850</v>
      </c>
      <c r="Q37" s="3" t="s">
        <v>61</v>
      </c>
    </row>
    <row r="38" spans="1:17" x14ac:dyDescent="0.25">
      <c r="B38" s="34" t="s">
        <v>50</v>
      </c>
      <c r="C38" t="s">
        <v>51</v>
      </c>
      <c r="D38" s="10">
        <f>AVERAGE(D16:D18)</f>
        <v>0</v>
      </c>
      <c r="E38" s="10">
        <f t="shared" ref="E38:O38" si="1">AVERAGE(E16:E18)</f>
        <v>0</v>
      </c>
      <c r="F38" s="10">
        <f t="shared" si="1"/>
        <v>0</v>
      </c>
      <c r="G38" s="10">
        <f t="shared" si="1"/>
        <v>0.33333333333333331</v>
      </c>
      <c r="H38" s="10">
        <f t="shared" si="1"/>
        <v>0.33333333333333331</v>
      </c>
      <c r="I38" s="10">
        <f t="shared" si="1"/>
        <v>0.66666666666666663</v>
      </c>
      <c r="J38" s="10">
        <f t="shared" si="1"/>
        <v>0.66666666666666663</v>
      </c>
      <c r="K38" s="10">
        <f t="shared" si="1"/>
        <v>2.3333333333333335</v>
      </c>
      <c r="L38" s="10">
        <f t="shared" si="1"/>
        <v>5</v>
      </c>
      <c r="M38" s="10">
        <f t="shared" si="1"/>
        <v>5</v>
      </c>
      <c r="N38" s="10">
        <f t="shared" si="1"/>
        <v>5.333333333333333</v>
      </c>
      <c r="O38" s="10">
        <f t="shared" si="1"/>
        <v>5.666666666666667</v>
      </c>
      <c r="Q38" s="47">
        <f t="shared" ref="Q38" si="2">AVERAGE(Q16:Q18)</f>
        <v>0.22666666666666668</v>
      </c>
    </row>
    <row r="39" spans="1:17" x14ac:dyDescent="0.25">
      <c r="B39" s="34" t="s">
        <v>50</v>
      </c>
      <c r="C39" t="s">
        <v>52</v>
      </c>
      <c r="D39" s="10">
        <f>AVERAGE(D19:D21)</f>
        <v>0</v>
      </c>
      <c r="E39" s="10">
        <f t="shared" ref="E39:O39" si="3">AVERAGE(E19:E21)</f>
        <v>0</v>
      </c>
      <c r="F39" s="10">
        <f t="shared" si="3"/>
        <v>0</v>
      </c>
      <c r="G39" s="10">
        <f t="shared" si="3"/>
        <v>0</v>
      </c>
      <c r="H39" s="10">
        <f t="shared" si="3"/>
        <v>0</v>
      </c>
      <c r="I39" s="10">
        <f t="shared" si="3"/>
        <v>0</v>
      </c>
      <c r="J39" s="10">
        <f t="shared" si="3"/>
        <v>0</v>
      </c>
      <c r="K39" s="10">
        <f t="shared" si="3"/>
        <v>0.33333333333333331</v>
      </c>
      <c r="L39" s="10">
        <f t="shared" si="3"/>
        <v>4</v>
      </c>
      <c r="M39" s="10">
        <f t="shared" si="3"/>
        <v>4.333333333333333</v>
      </c>
      <c r="N39" s="10">
        <f t="shared" si="3"/>
        <v>5.333333333333333</v>
      </c>
      <c r="O39" s="10">
        <f t="shared" si="3"/>
        <v>5.333333333333333</v>
      </c>
      <c r="Q39" s="47">
        <f t="shared" ref="Q39" si="4">AVERAGE(Q19:Q21)</f>
        <v>0.21333333333333335</v>
      </c>
    </row>
    <row r="40" spans="1:17" x14ac:dyDescent="0.25">
      <c r="B40" s="34" t="s">
        <v>53</v>
      </c>
      <c r="C40" t="s">
        <v>51</v>
      </c>
      <c r="D40" s="10">
        <f>AVERAGE(D22:D24)</f>
        <v>0</v>
      </c>
      <c r="E40" s="10">
        <f t="shared" ref="E40:O40" si="5">AVERAGE(E22:E24)</f>
        <v>3</v>
      </c>
      <c r="F40" s="10">
        <f t="shared" si="5"/>
        <v>4.666666666666667</v>
      </c>
      <c r="G40" s="10">
        <f t="shared" si="5"/>
        <v>5.333333333333333</v>
      </c>
      <c r="H40" s="10">
        <f t="shared" si="5"/>
        <v>5.333333333333333</v>
      </c>
      <c r="I40" s="10">
        <f t="shared" si="5"/>
        <v>5.666666666666667</v>
      </c>
      <c r="J40" s="10">
        <f t="shared" si="5"/>
        <v>5.666666666666667</v>
      </c>
      <c r="K40" s="10">
        <f t="shared" si="5"/>
        <v>5.666666666666667</v>
      </c>
      <c r="L40" s="10">
        <f t="shared" si="5"/>
        <v>5.666666666666667</v>
      </c>
      <c r="M40" s="10">
        <f t="shared" si="5"/>
        <v>6</v>
      </c>
      <c r="N40" s="10">
        <f t="shared" si="5"/>
        <v>6</v>
      </c>
      <c r="O40" s="10">
        <f t="shared" si="5"/>
        <v>6.333333333333333</v>
      </c>
      <c r="Q40" s="47">
        <f t="shared" ref="Q40" si="6">AVERAGE(Q22:Q24)</f>
        <v>0.25333333333333335</v>
      </c>
    </row>
    <row r="41" spans="1:17" x14ac:dyDescent="0.25">
      <c r="B41" s="34" t="s">
        <v>53</v>
      </c>
      <c r="C41" t="s">
        <v>52</v>
      </c>
      <c r="D41" s="10">
        <f>AVERAGE(D25:D27)</f>
        <v>0</v>
      </c>
      <c r="E41" s="10">
        <f t="shared" ref="E41:O41" si="7">AVERAGE(E25:E27)</f>
        <v>0</v>
      </c>
      <c r="F41" s="10">
        <f t="shared" si="7"/>
        <v>0.33333333333333331</v>
      </c>
      <c r="G41" s="10">
        <f t="shared" si="7"/>
        <v>0.66666666666666663</v>
      </c>
      <c r="H41" s="10">
        <f t="shared" si="7"/>
        <v>0.66666666666666663</v>
      </c>
      <c r="I41" s="10">
        <f t="shared" si="7"/>
        <v>0.66666666666666663</v>
      </c>
      <c r="J41" s="10">
        <f t="shared" si="7"/>
        <v>0.66666666666666663</v>
      </c>
      <c r="K41" s="10">
        <f t="shared" si="7"/>
        <v>1</v>
      </c>
      <c r="L41" s="10">
        <f t="shared" si="7"/>
        <v>1.3333333333333333</v>
      </c>
      <c r="M41" s="10">
        <f t="shared" si="7"/>
        <v>1.6666666666666667</v>
      </c>
      <c r="N41" s="10">
        <f t="shared" si="7"/>
        <v>2.6666666666666665</v>
      </c>
      <c r="O41" s="10">
        <f t="shared" si="7"/>
        <v>2.6666666666666665</v>
      </c>
      <c r="Q41" s="47">
        <f t="shared" ref="Q41" si="8">AVERAGE(Q25:Q27)</f>
        <v>0.10666666666666667</v>
      </c>
    </row>
    <row r="42" spans="1:17" x14ac:dyDescent="0.25">
      <c r="B42" s="34" t="s">
        <v>54</v>
      </c>
      <c r="C42" t="s">
        <v>51</v>
      </c>
      <c r="D42">
        <f>AVERAGE(D28:D30)</f>
        <v>0</v>
      </c>
      <c r="E42">
        <f t="shared" ref="E42:O42" si="9">AVERAGE(E28:E30)</f>
        <v>0</v>
      </c>
      <c r="F42">
        <f t="shared" si="9"/>
        <v>0</v>
      </c>
      <c r="G42">
        <f t="shared" si="9"/>
        <v>0</v>
      </c>
      <c r="H42">
        <f t="shared" si="9"/>
        <v>0</v>
      </c>
      <c r="I42">
        <f t="shared" si="9"/>
        <v>0</v>
      </c>
      <c r="J42">
        <f t="shared" si="9"/>
        <v>0</v>
      </c>
      <c r="K42">
        <f t="shared" si="9"/>
        <v>0</v>
      </c>
      <c r="L42">
        <f t="shared" si="9"/>
        <v>0</v>
      </c>
      <c r="M42">
        <f t="shared" si="9"/>
        <v>0</v>
      </c>
      <c r="N42">
        <f t="shared" si="9"/>
        <v>0</v>
      </c>
      <c r="O42">
        <f t="shared" si="9"/>
        <v>0</v>
      </c>
      <c r="Q42" s="47">
        <f t="shared" ref="Q42" si="10">AVERAGE(Q28:Q30)</f>
        <v>0</v>
      </c>
    </row>
    <row r="43" spans="1:17" x14ac:dyDescent="0.25">
      <c r="B43" s="34" t="s">
        <v>54</v>
      </c>
      <c r="C43" t="s">
        <v>52</v>
      </c>
      <c r="D43">
        <f>AVERAGE(D31:D33)</f>
        <v>0</v>
      </c>
      <c r="E43">
        <f t="shared" ref="E43:O43" si="11">AVERAGE(E31:E33)</f>
        <v>0</v>
      </c>
      <c r="F43">
        <f t="shared" si="11"/>
        <v>0</v>
      </c>
      <c r="G43">
        <f t="shared" si="11"/>
        <v>0</v>
      </c>
      <c r="H43">
        <f t="shared" si="11"/>
        <v>0</v>
      </c>
      <c r="I43">
        <f t="shared" si="11"/>
        <v>0</v>
      </c>
      <c r="J43">
        <f t="shared" si="11"/>
        <v>0</v>
      </c>
      <c r="K43">
        <f t="shared" si="11"/>
        <v>0</v>
      </c>
      <c r="L43">
        <f t="shared" si="11"/>
        <v>0</v>
      </c>
      <c r="M43">
        <f t="shared" si="11"/>
        <v>0</v>
      </c>
      <c r="N43">
        <f t="shared" si="11"/>
        <v>0</v>
      </c>
      <c r="O43">
        <f t="shared" si="11"/>
        <v>0</v>
      </c>
      <c r="Q43" s="47">
        <f t="shared" ref="Q43" si="12">AVERAGE(Q31:Q33)</f>
        <v>0</v>
      </c>
    </row>
    <row r="45" spans="1:17" x14ac:dyDescent="0.25">
      <c r="B45" s="34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HEIGHT and REPRO</vt:lpstr>
      <vt:lpstr>SEEDLING EMERG</vt:lpstr>
      <vt:lpstr>LAB GERMINATION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lee-lab</dc:creator>
  <cp:lastModifiedBy>Lee, Tom (NatRes)</cp:lastModifiedBy>
  <dcterms:created xsi:type="dcterms:W3CDTF">2017-08-19T19:47:01Z</dcterms:created>
  <dcterms:modified xsi:type="dcterms:W3CDTF">2017-08-19T21:29:09Z</dcterms:modified>
</cp:coreProperties>
</file>